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9"/>
  <workbookPr/>
  <mc:AlternateContent xmlns:mc="http://schemas.openxmlformats.org/markup-compatibility/2006">
    <mc:Choice Requires="x15">
      <x15ac:absPath xmlns:x15ac="http://schemas.microsoft.com/office/spreadsheetml/2010/11/ac" url="C:\Users\User\My Drive\Lecture info\Courses\CMPG 222\CMPG 222 2024\Assignments\"/>
    </mc:Choice>
  </mc:AlternateContent>
  <xr:revisionPtr revIDLastSave="0" documentId="8_{0641BEF5-0CE3-4970-B5C1-8146040FF629}" xr6:coauthVersionLast="47" xr6:coauthVersionMax="47" xr10:uidLastSave="{00000000-0000-0000-0000-000000000000}"/>
  <bookViews>
    <workbookView xWindow="-108" yWindow="-108" windowWidth="23256" windowHeight="12576" firstSheet="1" activeTab="1" xr2:uid="{0BE3DF9C-FB75-40FB-BCB2-7F69F858BC64}"/>
  </bookViews>
  <sheets>
    <sheet name="Question 1" sheetId="1" r:id="rId1"/>
    <sheet name="Question 2" sheetId="2" r:id="rId2"/>
    <sheet name="Question 3" sheetId="3" r:id="rId3"/>
    <sheet name="Question 4" sheetId="4" r:id="rId4"/>
  </sheets>
  <definedNames>
    <definedName name="_xlchart.v1.0" hidden="1">'Question 1'!$M$2:$M$14</definedName>
    <definedName name="_xlchart.v1.1" hidden="1">'Question 1'!$P$2:$P$14</definedName>
    <definedName name="_xlchart.v1.2" hidden="1">'Question 2'!$I$2:$I$11</definedName>
    <definedName name="_xlchart.v1.3" hidden="1">'Question 2'!$J$2:$J$11</definedName>
    <definedName name="_xlchart.v1.4" hidden="1">'Question 4'!$B$5:$B$9</definedName>
    <definedName name="_xlchart.v1.5" hidden="1">'Question 4'!$C$5:$C$9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F7" i="4"/>
  <c r="F8" i="4"/>
  <c r="F9" i="4"/>
  <c r="F5" i="4"/>
  <c r="E7" i="4"/>
  <c r="E8" i="4"/>
  <c r="E9" i="4"/>
  <c r="E6" i="4"/>
  <c r="E5" i="4"/>
  <c r="D6" i="4"/>
  <c r="D7" i="4"/>
  <c r="D8" i="4"/>
  <c r="D9" i="4"/>
  <c r="D5" i="4"/>
  <c r="C5" i="4" a="1"/>
  <c r="C5" i="4"/>
  <c r="AA3" i="3"/>
  <c r="AA4" i="3"/>
  <c r="AA5" i="3"/>
  <c r="AA2" i="3"/>
  <c r="Z4" i="3"/>
  <c r="Z5" i="3"/>
  <c r="Z3" i="3"/>
  <c r="Z2" i="3"/>
  <c r="U7" i="3"/>
  <c r="X2" i="3" a="1"/>
  <c r="X2" i="3"/>
  <c r="Y2" i="3" s="1"/>
  <c r="P3" i="1"/>
  <c r="P4" i="1"/>
  <c r="P5" i="1"/>
  <c r="P6" i="1"/>
  <c r="P7" i="1"/>
  <c r="P8" i="1"/>
  <c r="P9" i="1"/>
  <c r="P10" i="1"/>
  <c r="P11" i="1"/>
  <c r="P12" i="1"/>
  <c r="P13" i="1"/>
  <c r="P14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2" i="1"/>
  <c r="N2" i="1" a="1"/>
  <c r="N2" i="1"/>
  <c r="J2" i="1"/>
  <c r="J3" i="1"/>
  <c r="F7" i="1"/>
  <c r="J2" i="2" a="1"/>
  <c r="J2" i="2"/>
  <c r="F3" i="2"/>
  <c r="E3" i="2"/>
  <c r="F2" i="2"/>
  <c r="E2" i="2"/>
  <c r="Y3" i="3" l="1"/>
  <c r="Y4" i="3"/>
  <c r="Y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<sst xmlns="http://schemas.openxmlformats.org/spreadsheetml/2006/main" count="52" uniqueCount="40">
  <si>
    <t>A</t>
  </si>
  <si>
    <t>Bin lower lim</t>
  </si>
  <si>
    <t>Bin upper lim</t>
  </si>
  <si>
    <t>frequency distribution</t>
  </si>
  <si>
    <t>relative frequency</t>
  </si>
  <si>
    <t>percent frequency</t>
  </si>
  <si>
    <t xml:space="preserve">The least </t>
  </si>
  <si>
    <t>The most</t>
  </si>
  <si>
    <t xml:space="preserve">After 6 months the sales declined </t>
  </si>
  <si>
    <t>Company</t>
  </si>
  <si>
    <t>Monthly Sales (Million $)</t>
  </si>
  <si>
    <t>Amazon</t>
  </si>
  <si>
    <t>highest</t>
  </si>
  <si>
    <t>eBay</t>
  </si>
  <si>
    <t>lowest</t>
  </si>
  <si>
    <t>Walmart</t>
  </si>
  <si>
    <t>Alibaba</t>
  </si>
  <si>
    <t>Target</t>
  </si>
  <si>
    <t>Best Buy</t>
  </si>
  <si>
    <t>Macy's</t>
  </si>
  <si>
    <t>Home Depot</t>
  </si>
  <si>
    <t>Wayfair</t>
  </si>
  <si>
    <t>Costco</t>
  </si>
  <si>
    <t>JD.com</t>
  </si>
  <si>
    <t>Etsy</t>
  </si>
  <si>
    <t>Kroger</t>
  </si>
  <si>
    <t>Overstock</t>
  </si>
  <si>
    <t>Shopify</t>
  </si>
  <si>
    <t>Rakuten</t>
  </si>
  <si>
    <t>Zalando</t>
  </si>
  <si>
    <t>ASOS</t>
  </si>
  <si>
    <t>Flipkart</t>
  </si>
  <si>
    <t>Snapdeal</t>
  </si>
  <si>
    <t xml:space="preserve">After 8 months the sales declined </t>
  </si>
  <si>
    <t>Bin low lim</t>
  </si>
  <si>
    <t>relative frequency distribution</t>
  </si>
  <si>
    <t>cumulative frequency distribution</t>
  </si>
  <si>
    <t>cumulative relative frequency distribution</t>
  </si>
  <si>
    <t>class 4.0 to 4.9 show that more households have more expenditure in this range</t>
  </si>
  <si>
    <t>the biggest expenditure is   6.2 thousand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</si>
</sst>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9" fontId="0" fillId="0" borderId="0" xfId="0" applyNumberFormat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0" fillId="0" borderId="13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>
      <cx:tx>
        <cx:txData>
          <cx:v>Sales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Sales</a:t>
          </a:r>
        </a:p>
      </cx:txPr>
    </cx:title>
    <cx:plotArea>
      <cx:plotAreaRegion>
        <cx:series layoutId="clusteredColumn" uniqueId="{FEBEC85B-C331-43B1-812A-A8395C8143B3}" formatIdx="0">
          <cx:dataId val="0"/>
          <cx:layoutPr>
            <cx:binning intervalClosed="r"/>
          </cx:layoutPr>
        </cx:series>
        <cx:series layoutId="clusteredColumn" hidden="1" uniqueId="{BD55098B-C126-4763-A53F-82FCC7383A1F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Companies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Companies</a:t>
          </a:r>
        </a:p>
      </cx:txPr>
    </cx:title>
    <cx:plotArea>
      <cx:plotAreaRegion>
        <cx:series layoutId="clusteredColumn" uniqueId="{560738A4-538F-4B17-953C-49E0E497AA6F}" formatIdx="0">
          <cx:dataId val="0"/>
          <cx:layoutPr>
            <cx:binning intervalClosed="r"/>
          </cx:layoutPr>
        </cx:series>
        <cx:series layoutId="clusteredColumn" hidden="1" uniqueId="{92FE62F3-15CD-4131-8343-1DCF654A3B9B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_xlchart.v1.5</cx:f>
      </cx:numDim>
    </cx:data>
  </cx:chartData>
  <cx:chart>
    <cx:title pos="t" align="ctr" overlay="0">
      <cx:tx>
        <cx:txData>
          <cx:v>Household expanditure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Household expanditure</a:t>
          </a:r>
        </a:p>
      </cx:txPr>
    </cx:title>
    <cx:plotArea>
      <cx:plotAreaRegion>
        <cx:series layoutId="clusteredColumn" uniqueId="{C6DFE830-35A9-4F25-BB27-FF657AEBFC06}" formatIdx="0">
          <cx:dataId val="0"/>
          <cx:layoutPr>
            <cx:binning intervalClosed="r"/>
          </cx:layoutPr>
        </cx:series>
        <cx:series layoutId="clusteredColumn" hidden="1" uniqueId="{0B4BF96E-77FC-471F-9621-1DC02E995B45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219075</xdr:colOff>
      <xdr:row>17</xdr:row>
      <xdr:rowOff>104775</xdr:rowOff>
    </xdr:from>
    <xdr:to>
      <xdr:col>15</xdr:col>
      <xdr:colOff>704850</xdr:colOff>
      <xdr:row>31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173560D-91B7-B327-8101-004BA336222D}"/>
                </a:ext>
                <a:ext uri="{147F2762-F138-4A5C-976F-8EAC2B608ADB}">
                  <a16:predDERef xmlns:a16="http://schemas.microsoft.com/office/drawing/2014/main" pred="{9B496967-1068-97C5-5923-9CCAD47C99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16</xdr:row>
      <xdr:rowOff>66675</xdr:rowOff>
    </xdr:from>
    <xdr:to>
      <xdr:col>10</xdr:col>
      <xdr:colOff>123825</xdr:colOff>
      <xdr:row>30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390D338-8E5D-3ED1-B7EC-028C6BF050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38875" y="32861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809625</xdr:colOff>
      <xdr:row>12</xdr:row>
      <xdr:rowOff>104775</xdr:rowOff>
    </xdr:from>
    <xdr:to>
      <xdr:col>7</xdr:col>
      <xdr:colOff>257175</xdr:colOff>
      <xdr:row>27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8BE280C-8F95-AE5D-0B05-A6E42FA38B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0700" y="22764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9FF7-0487-4BF5-A4CB-C4019B8DC012}">
  <dimension ref="A1:P34"/>
  <sheetViews>
    <sheetView topLeftCell="A18" workbookViewId="0">
      <selection activeCell="M37" sqref="M37"/>
    </sheetView>
  </sheetViews>
  <sheetFormatPr defaultRowHeight="15" customHeight="1"/>
  <cols>
    <col min="1" max="6" width="9.140625" style="1"/>
    <col min="12" max="12" width="12.140625" bestFit="1" customWidth="1"/>
    <col min="13" max="13" width="12.42578125" bestFit="1" customWidth="1"/>
    <col min="14" max="14" width="20.140625" bestFit="1" customWidth="1"/>
    <col min="15" max="15" width="16.5703125" bestFit="1" customWidth="1"/>
    <col min="16" max="16" width="16.85546875" bestFit="1" customWidth="1"/>
  </cols>
  <sheetData>
    <row r="1" spans="1:16">
      <c r="A1" s="9">
        <v>52</v>
      </c>
      <c r="B1" s="9">
        <v>55</v>
      </c>
      <c r="C1" s="9">
        <v>62</v>
      </c>
      <c r="D1" s="9">
        <v>59</v>
      </c>
      <c r="E1" s="9">
        <v>49</v>
      </c>
      <c r="F1" s="9">
        <v>58</v>
      </c>
      <c r="I1" s="21" t="s">
        <v>0</v>
      </c>
      <c r="J1" s="22"/>
      <c r="L1" t="s">
        <v>1</v>
      </c>
      <c r="M1" t="s">
        <v>2</v>
      </c>
      <c r="N1" t="s">
        <v>3</v>
      </c>
      <c r="O1" t="s">
        <v>4</v>
      </c>
      <c r="P1" t="s">
        <v>5</v>
      </c>
    </row>
    <row r="2" spans="1:16">
      <c r="A2" s="9">
        <v>48</v>
      </c>
      <c r="B2" s="9">
        <v>47</v>
      </c>
      <c r="C2" s="9">
        <v>48</v>
      </c>
      <c r="D2" s="9">
        <v>57</v>
      </c>
      <c r="E2" s="9">
        <v>53</v>
      </c>
      <c r="F2" s="9">
        <v>52</v>
      </c>
      <c r="I2" s="10" t="s">
        <v>6</v>
      </c>
      <c r="J2" s="11">
        <f>MIN(A1:F5)</f>
        <v>45</v>
      </c>
      <c r="L2">
        <v>0</v>
      </c>
      <c r="M2">
        <v>5</v>
      </c>
      <c r="N2" cm="1">
        <f t="array" ref="N2:N15">FREQUENCY(A1:F5,M2:M14)</f>
        <v>0</v>
      </c>
      <c r="O2">
        <f>N2/30</f>
        <v>0</v>
      </c>
      <c r="P2" s="14">
        <f>N2/30</f>
        <v>0</v>
      </c>
    </row>
    <row r="3" spans="1:16">
      <c r="A3" s="9">
        <v>54</v>
      </c>
      <c r="B3" s="9">
        <v>51</v>
      </c>
      <c r="C3" s="9">
        <v>56</v>
      </c>
      <c r="D3" s="9">
        <v>46</v>
      </c>
      <c r="E3" s="9">
        <v>55</v>
      </c>
      <c r="F3" s="9">
        <v>50</v>
      </c>
      <c r="I3" s="10" t="s">
        <v>7</v>
      </c>
      <c r="J3" s="11">
        <f>MAX(A1:F5)</f>
        <v>62</v>
      </c>
      <c r="L3">
        <v>5</v>
      </c>
      <c r="M3">
        <v>10</v>
      </c>
      <c r="N3">
        <v>0</v>
      </c>
      <c r="O3">
        <f t="shared" ref="O3:O14" si="0">N3/30</f>
        <v>0</v>
      </c>
      <c r="P3" s="14">
        <f t="shared" ref="P3:P14" si="1">N3/30</f>
        <v>0</v>
      </c>
    </row>
    <row r="4" spans="1:16">
      <c r="A4" s="9">
        <v>60</v>
      </c>
      <c r="B4" s="9">
        <v>53</v>
      </c>
      <c r="C4" s="9">
        <v>50</v>
      </c>
      <c r="D4" s="9">
        <v>61</v>
      </c>
      <c r="E4" s="9">
        <v>60</v>
      </c>
      <c r="F4" s="9">
        <v>51</v>
      </c>
      <c r="I4" s="12"/>
      <c r="J4" s="13"/>
      <c r="L4">
        <v>10</v>
      </c>
      <c r="M4">
        <v>15</v>
      </c>
      <c r="N4">
        <v>0</v>
      </c>
      <c r="O4">
        <f t="shared" si="0"/>
        <v>0</v>
      </c>
      <c r="P4" s="14">
        <f t="shared" si="1"/>
        <v>0</v>
      </c>
    </row>
    <row r="5" spans="1:16">
      <c r="A5" s="9">
        <v>49</v>
      </c>
      <c r="B5" s="9">
        <v>58</v>
      </c>
      <c r="C5" s="9">
        <v>45</v>
      </c>
      <c r="D5" s="9">
        <v>50</v>
      </c>
      <c r="E5" s="9">
        <v>47</v>
      </c>
      <c r="F5" s="9">
        <v>56</v>
      </c>
      <c r="L5">
        <v>15</v>
      </c>
      <c r="M5">
        <v>20</v>
      </c>
      <c r="N5">
        <v>0</v>
      </c>
      <c r="O5">
        <f t="shared" si="0"/>
        <v>0</v>
      </c>
      <c r="P5" s="14">
        <f t="shared" si="1"/>
        <v>0</v>
      </c>
    </row>
    <row r="6" spans="1:16">
      <c r="L6">
        <v>20</v>
      </c>
      <c r="M6">
        <v>25</v>
      </c>
      <c r="N6">
        <v>0</v>
      </c>
      <c r="O6">
        <f t="shared" si="0"/>
        <v>0</v>
      </c>
      <c r="P6" s="14">
        <f t="shared" si="1"/>
        <v>0</v>
      </c>
    </row>
    <row r="7" spans="1:16">
      <c r="F7" s="1">
        <f>COUNT(A1:F5)</f>
        <v>30</v>
      </c>
      <c r="L7">
        <v>25</v>
      </c>
      <c r="M7">
        <v>30</v>
      </c>
      <c r="N7">
        <v>0</v>
      </c>
      <c r="O7">
        <f t="shared" si="0"/>
        <v>0</v>
      </c>
      <c r="P7" s="14">
        <f t="shared" si="1"/>
        <v>0</v>
      </c>
    </row>
    <row r="8" spans="1:16">
      <c r="L8">
        <v>30</v>
      </c>
      <c r="M8">
        <v>35</v>
      </c>
      <c r="N8">
        <v>0</v>
      </c>
      <c r="O8">
        <f t="shared" si="0"/>
        <v>0</v>
      </c>
      <c r="P8" s="14">
        <f t="shared" si="1"/>
        <v>0</v>
      </c>
    </row>
    <row r="9" spans="1:16">
      <c r="L9">
        <v>35</v>
      </c>
      <c r="M9">
        <v>40</v>
      </c>
      <c r="N9">
        <v>0</v>
      </c>
      <c r="O9">
        <f t="shared" si="0"/>
        <v>0</v>
      </c>
      <c r="P9" s="14">
        <f t="shared" si="1"/>
        <v>0</v>
      </c>
    </row>
    <row r="10" spans="1:16">
      <c r="L10">
        <v>40</v>
      </c>
      <c r="M10">
        <v>45</v>
      </c>
      <c r="N10">
        <v>1</v>
      </c>
      <c r="O10">
        <f t="shared" si="0"/>
        <v>3.3333333333333333E-2</v>
      </c>
      <c r="P10" s="14">
        <f t="shared" si="1"/>
        <v>3.3333333333333333E-2</v>
      </c>
    </row>
    <row r="11" spans="1:16">
      <c r="L11">
        <v>45</v>
      </c>
      <c r="M11">
        <v>50</v>
      </c>
      <c r="N11">
        <v>10</v>
      </c>
      <c r="O11">
        <f t="shared" si="0"/>
        <v>0.33333333333333331</v>
      </c>
      <c r="P11" s="14">
        <f t="shared" si="1"/>
        <v>0.33333333333333331</v>
      </c>
    </row>
    <row r="12" spans="1:16">
      <c r="L12">
        <v>50</v>
      </c>
      <c r="M12">
        <v>55</v>
      </c>
      <c r="N12">
        <v>9</v>
      </c>
      <c r="O12">
        <f t="shared" si="0"/>
        <v>0.3</v>
      </c>
      <c r="P12" s="14">
        <f t="shared" si="1"/>
        <v>0.3</v>
      </c>
    </row>
    <row r="13" spans="1:16">
      <c r="L13">
        <v>55</v>
      </c>
      <c r="M13">
        <v>60</v>
      </c>
      <c r="N13">
        <v>8</v>
      </c>
      <c r="O13">
        <f t="shared" si="0"/>
        <v>0.26666666666666666</v>
      </c>
      <c r="P13" s="14">
        <f t="shared" si="1"/>
        <v>0.26666666666666666</v>
      </c>
    </row>
    <row r="14" spans="1:16">
      <c r="L14">
        <v>60</v>
      </c>
      <c r="M14">
        <v>65</v>
      </c>
      <c r="N14">
        <v>2</v>
      </c>
      <c r="O14">
        <f t="shared" si="0"/>
        <v>6.6666666666666666E-2</v>
      </c>
      <c r="P14" s="14">
        <f t="shared" si="1"/>
        <v>6.6666666666666666E-2</v>
      </c>
    </row>
    <row r="15" spans="1:16">
      <c r="N15">
        <v>0</v>
      </c>
    </row>
    <row r="34" spans="12:12" ht="15" customHeight="1">
      <c r="L34" t="s">
        <v>8</v>
      </c>
    </row>
  </sheetData>
  <mergeCells count="1">
    <mergeCell ref="I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32CB-84C1-4A98-8BD3-CA1F04DC9AC1}">
  <dimension ref="A1:J33"/>
  <sheetViews>
    <sheetView tabSelected="1" topLeftCell="A13" workbookViewId="0">
      <selection activeCell="G35" sqref="G35"/>
    </sheetView>
  </sheetViews>
  <sheetFormatPr defaultColWidth="15.5703125" defaultRowHeight="15" customHeight="1"/>
  <cols>
    <col min="1" max="1" width="15.5703125" style="8"/>
    <col min="2" max="9" width="15.5703125" style="1"/>
    <col min="10" max="10" width="20.140625" style="1" bestFit="1" customWidth="1"/>
    <col min="11" max="16384" width="15.5703125" style="1"/>
  </cols>
  <sheetData>
    <row r="1" spans="1:10" ht="28.9" customHeight="1">
      <c r="A1" s="5" t="s">
        <v>9</v>
      </c>
      <c r="B1" s="2" t="s">
        <v>10</v>
      </c>
      <c r="D1" s="19" t="s">
        <v>0</v>
      </c>
      <c r="E1" s="20"/>
      <c r="F1" s="18"/>
      <c r="H1" s="1" t="s">
        <v>1</v>
      </c>
      <c r="I1" s="1" t="s">
        <v>2</v>
      </c>
      <c r="J1" t="s">
        <v>3</v>
      </c>
    </row>
    <row r="2" spans="1:10">
      <c r="A2" s="6" t="s">
        <v>11</v>
      </c>
      <c r="B2" s="3">
        <v>232.9</v>
      </c>
      <c r="D2" s="10" t="s">
        <v>12</v>
      </c>
      <c r="E2" s="1">
        <f>MAX(B2:B21)</f>
        <v>232.9</v>
      </c>
      <c r="F2" s="15" t="str">
        <f>A2</f>
        <v>Amazon</v>
      </c>
      <c r="H2" s="1">
        <v>20</v>
      </c>
      <c r="I2" s="1">
        <v>29.9</v>
      </c>
      <c r="J2" s="1" cm="1">
        <f t="array" ref="J2:J12">FREQUENCY(B2:B21,I2:I11)</f>
        <v>5</v>
      </c>
    </row>
    <row r="3" spans="1:10">
      <c r="A3" s="6" t="s">
        <v>13</v>
      </c>
      <c r="B3" s="3">
        <v>102.5</v>
      </c>
      <c r="D3" s="12" t="s">
        <v>14</v>
      </c>
      <c r="E3" s="17">
        <f>MIN(B2:B21)</f>
        <v>25.1</v>
      </c>
      <c r="F3" s="16" t="str">
        <f>A21</f>
        <v>Snapdeal</v>
      </c>
      <c r="H3" s="1">
        <v>30</v>
      </c>
      <c r="I3" s="1">
        <v>39.9</v>
      </c>
      <c r="J3" s="1">
        <v>7</v>
      </c>
    </row>
    <row r="4" spans="1:10">
      <c r="A4" s="6" t="s">
        <v>15</v>
      </c>
      <c r="B4" s="3">
        <v>75.599999999999994</v>
      </c>
      <c r="H4" s="1">
        <v>40</v>
      </c>
      <c r="I4" s="1">
        <v>49.9</v>
      </c>
      <c r="J4" s="1">
        <v>3</v>
      </c>
    </row>
    <row r="5" spans="1:10">
      <c r="A5" s="6" t="s">
        <v>16</v>
      </c>
      <c r="B5" s="3">
        <v>69.8</v>
      </c>
      <c r="H5" s="1">
        <v>50</v>
      </c>
      <c r="I5" s="1">
        <v>59.9</v>
      </c>
      <c r="J5" s="1">
        <v>1</v>
      </c>
    </row>
    <row r="6" spans="1:10">
      <c r="A6" s="6" t="s">
        <v>17</v>
      </c>
      <c r="B6" s="3">
        <v>55.4</v>
      </c>
      <c r="H6" s="1">
        <v>60</v>
      </c>
      <c r="I6" s="1">
        <v>69.900000000000006</v>
      </c>
      <c r="J6" s="1">
        <v>1</v>
      </c>
    </row>
    <row r="7" spans="1:10">
      <c r="A7" s="6" t="s">
        <v>18</v>
      </c>
      <c r="B7" s="3">
        <v>48.3</v>
      </c>
      <c r="H7" s="1">
        <v>70</v>
      </c>
      <c r="I7" s="1">
        <v>79.900000000000006</v>
      </c>
      <c r="J7" s="1">
        <v>1</v>
      </c>
    </row>
    <row r="8" spans="1:10">
      <c r="A8" s="6" t="s">
        <v>19</v>
      </c>
      <c r="B8" s="3">
        <v>44.2</v>
      </c>
      <c r="H8" s="1">
        <v>80</v>
      </c>
      <c r="I8" s="1">
        <v>89.9</v>
      </c>
      <c r="J8" s="1">
        <v>0</v>
      </c>
    </row>
    <row r="9" spans="1:10">
      <c r="A9" s="6" t="s">
        <v>20</v>
      </c>
      <c r="B9" s="3">
        <v>41.6</v>
      </c>
      <c r="H9" s="1">
        <v>90</v>
      </c>
      <c r="I9" s="1">
        <v>99.9</v>
      </c>
      <c r="J9" s="1">
        <v>0</v>
      </c>
    </row>
    <row r="10" spans="1:10">
      <c r="A10" s="6" t="s">
        <v>21</v>
      </c>
      <c r="B10" s="3">
        <v>39.9</v>
      </c>
      <c r="H10" s="1">
        <v>100</v>
      </c>
      <c r="I10" s="1">
        <v>199.9</v>
      </c>
      <c r="J10" s="1">
        <v>1</v>
      </c>
    </row>
    <row r="11" spans="1:10">
      <c r="A11" s="6" t="s">
        <v>22</v>
      </c>
      <c r="B11" s="3">
        <v>38.4</v>
      </c>
      <c r="H11" s="1">
        <v>200</v>
      </c>
      <c r="I11" s="1">
        <v>299.89999999999998</v>
      </c>
      <c r="J11" s="1">
        <v>1</v>
      </c>
    </row>
    <row r="12" spans="1:10">
      <c r="A12" s="6" t="s">
        <v>23</v>
      </c>
      <c r="B12" s="3">
        <v>36.700000000000003</v>
      </c>
      <c r="J12" s="1">
        <v>0</v>
      </c>
    </row>
    <row r="13" spans="1:10">
      <c r="A13" s="6" t="s">
        <v>24</v>
      </c>
      <c r="B13" s="3">
        <v>34.200000000000003</v>
      </c>
    </row>
    <row r="14" spans="1:10">
      <c r="A14" s="6" t="s">
        <v>25</v>
      </c>
      <c r="B14" s="3">
        <v>33.6</v>
      </c>
    </row>
    <row r="15" spans="1:10">
      <c r="A15" s="6" t="s">
        <v>26</v>
      </c>
      <c r="B15" s="3">
        <v>32.799999999999997</v>
      </c>
    </row>
    <row r="16" spans="1:10">
      <c r="A16" s="6" t="s">
        <v>27</v>
      </c>
      <c r="B16" s="3">
        <v>31.4</v>
      </c>
    </row>
    <row r="17" spans="1:2">
      <c r="A17" s="6" t="s">
        <v>28</v>
      </c>
      <c r="B17" s="3">
        <v>29.9</v>
      </c>
    </row>
    <row r="18" spans="1:2">
      <c r="A18" s="6" t="s">
        <v>29</v>
      </c>
      <c r="B18" s="3">
        <v>28.5</v>
      </c>
    </row>
    <row r="19" spans="1:2">
      <c r="A19" s="6" t="s">
        <v>30</v>
      </c>
      <c r="B19" s="3">
        <v>27.6</v>
      </c>
    </row>
    <row r="20" spans="1:2">
      <c r="A20" s="6" t="s">
        <v>31</v>
      </c>
      <c r="B20" s="3">
        <v>26.3</v>
      </c>
    </row>
    <row r="21" spans="1:2">
      <c r="A21" s="7" t="s">
        <v>32</v>
      </c>
      <c r="B21" s="4">
        <v>25.1</v>
      </c>
    </row>
    <row r="33" spans="7:7" ht="15" customHeight="1">
      <c r="G33" s="1" t="s">
        <v>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54A16-689F-4247-9DDB-12C506B45D5B}">
  <dimension ref="A1:AA7"/>
  <sheetViews>
    <sheetView topLeftCell="L1" workbookViewId="0">
      <selection activeCell="AA2" sqref="AA2:AA5"/>
    </sheetView>
  </sheetViews>
  <sheetFormatPr defaultRowHeight="14.45"/>
  <cols>
    <col min="1" max="20" width="4" style="1" customWidth="1"/>
    <col min="22" max="22" width="10.42578125" bestFit="1" customWidth="1"/>
    <col min="23" max="23" width="12.42578125" bestFit="1" customWidth="1"/>
    <col min="24" max="24" width="20.140625" bestFit="1" customWidth="1"/>
    <col min="25" max="25" width="27.140625" bestFit="1" customWidth="1"/>
    <col min="26" max="26" width="30.42578125" bestFit="1" customWidth="1"/>
    <col min="27" max="27" width="37.28515625" bestFit="1" customWidth="1"/>
  </cols>
  <sheetData>
    <row r="1" spans="1:27">
      <c r="A1" s="1">
        <v>4</v>
      </c>
      <c r="B1" s="1">
        <v>7</v>
      </c>
      <c r="C1" s="1">
        <v>12</v>
      </c>
      <c r="D1" s="1">
        <v>15</v>
      </c>
      <c r="E1" s="1">
        <v>9</v>
      </c>
      <c r="F1" s="1">
        <v>10</v>
      </c>
      <c r="G1" s="1">
        <v>6</v>
      </c>
      <c r="H1" s="1">
        <v>16</v>
      </c>
      <c r="I1" s="1">
        <v>11</v>
      </c>
      <c r="J1" s="1">
        <v>14</v>
      </c>
      <c r="K1" s="1">
        <v>13</v>
      </c>
      <c r="L1" s="1">
        <v>12</v>
      </c>
      <c r="M1" s="1">
        <v>8</v>
      </c>
      <c r="N1" s="1">
        <v>17</v>
      </c>
      <c r="O1" s="1">
        <v>5</v>
      </c>
      <c r="P1" s="1">
        <v>14</v>
      </c>
      <c r="Q1" s="1">
        <v>18</v>
      </c>
      <c r="R1" s="1">
        <v>3</v>
      </c>
      <c r="S1" s="1">
        <v>19</v>
      </c>
      <c r="T1" s="1">
        <v>8</v>
      </c>
      <c r="V1" t="s">
        <v>34</v>
      </c>
      <c r="W1" t="s">
        <v>2</v>
      </c>
      <c r="X1" t="s">
        <v>3</v>
      </c>
      <c r="Y1" t="s">
        <v>35</v>
      </c>
      <c r="Z1" t="s">
        <v>36</v>
      </c>
      <c r="AA1" t="s">
        <v>37</v>
      </c>
    </row>
    <row r="2" spans="1:27">
      <c r="V2">
        <v>1</v>
      </c>
      <c r="W2">
        <v>5</v>
      </c>
      <c r="X2" cm="1">
        <f t="array" ref="X2:X6">FREQUENCY(A1:T1,W2:W5)</f>
        <v>3</v>
      </c>
      <c r="Y2">
        <f>X2/20</f>
        <v>0.15</v>
      </c>
      <c r="Z2">
        <f>X2</f>
        <v>3</v>
      </c>
      <c r="AA2">
        <f>Z2/$Z$5</f>
        <v>0.15</v>
      </c>
    </row>
    <row r="3" spans="1:27">
      <c r="V3">
        <v>6</v>
      </c>
      <c r="W3">
        <v>10</v>
      </c>
      <c r="X3">
        <v>6</v>
      </c>
      <c r="Y3">
        <f t="shared" ref="Y3:Y5" si="0">X3/20</f>
        <v>0.3</v>
      </c>
      <c r="Z3">
        <f>Z2+X3</f>
        <v>9</v>
      </c>
      <c r="AA3">
        <f t="shared" ref="AA3:AA5" si="1">Z3/$Z$5</f>
        <v>0.45</v>
      </c>
    </row>
    <row r="4" spans="1:27">
      <c r="V4">
        <v>11</v>
      </c>
      <c r="W4">
        <v>15</v>
      </c>
      <c r="X4">
        <v>7</v>
      </c>
      <c r="Y4">
        <f t="shared" si="0"/>
        <v>0.35</v>
      </c>
      <c r="Z4">
        <f t="shared" ref="Z4:Z5" si="2">Z3+X4</f>
        <v>16</v>
      </c>
      <c r="AA4">
        <f t="shared" si="1"/>
        <v>0.8</v>
      </c>
    </row>
    <row r="5" spans="1:27">
      <c r="V5">
        <v>16</v>
      </c>
      <c r="W5">
        <v>20</v>
      </c>
      <c r="X5">
        <v>4</v>
      </c>
      <c r="Y5">
        <f t="shared" si="0"/>
        <v>0.2</v>
      </c>
      <c r="Z5">
        <f t="shared" si="2"/>
        <v>20</v>
      </c>
      <c r="AA5">
        <f t="shared" si="1"/>
        <v>1</v>
      </c>
    </row>
    <row r="6" spans="1:27">
      <c r="X6">
        <v>0</v>
      </c>
    </row>
    <row r="7" spans="1:27">
      <c r="U7">
        <f>COUNT(A1:T1)</f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9B61-CE82-49C4-97E6-1068A66EE207}">
  <dimension ref="A1:AD34"/>
  <sheetViews>
    <sheetView workbookViewId="0">
      <selection activeCell="C36" sqref="C36"/>
    </sheetView>
  </sheetViews>
  <sheetFormatPr defaultRowHeight="14.45"/>
  <cols>
    <col min="1" max="1" width="12.140625" style="1" bestFit="1" customWidth="1"/>
    <col min="2" max="2" width="12.42578125" style="1" bestFit="1" customWidth="1"/>
    <col min="3" max="3" width="20.140625" style="1" bestFit="1" customWidth="1"/>
    <col min="4" max="4" width="27.140625" style="1" bestFit="1" customWidth="1"/>
    <col min="5" max="5" width="30.42578125" style="1" bestFit="1" customWidth="1"/>
    <col min="6" max="6" width="37.28515625" style="1" bestFit="1" customWidth="1"/>
    <col min="7" max="30" width="9.140625" style="1"/>
  </cols>
  <sheetData>
    <row r="1" spans="1:30">
      <c r="A1" s="1">
        <v>3.2</v>
      </c>
      <c r="B1" s="1">
        <v>4.5</v>
      </c>
      <c r="C1" s="1">
        <v>2.8</v>
      </c>
      <c r="D1" s="1">
        <v>3.9</v>
      </c>
      <c r="E1" s="1">
        <v>5.0999999999999996</v>
      </c>
      <c r="F1" s="1">
        <v>4.3</v>
      </c>
      <c r="G1" s="1">
        <v>3</v>
      </c>
      <c r="H1" s="1">
        <v>6.2</v>
      </c>
      <c r="I1" s="1">
        <v>3.7</v>
      </c>
      <c r="J1" s="1">
        <v>5.8</v>
      </c>
      <c r="K1" s="1">
        <v>4.0999999999999996</v>
      </c>
      <c r="L1" s="1">
        <v>3.5</v>
      </c>
      <c r="M1" s="1">
        <v>4.7</v>
      </c>
      <c r="N1" s="1">
        <v>5.3</v>
      </c>
      <c r="O1" s="1">
        <v>4.5999999999999996</v>
      </c>
      <c r="P1" s="1">
        <v>3.4</v>
      </c>
      <c r="Q1" s="1">
        <v>5.9</v>
      </c>
      <c r="R1" s="1">
        <v>6</v>
      </c>
      <c r="S1" s="1">
        <v>2.7</v>
      </c>
      <c r="T1" s="1">
        <v>4</v>
      </c>
      <c r="U1" s="1">
        <v>3.3</v>
      </c>
      <c r="V1" s="1">
        <v>5</v>
      </c>
      <c r="W1" s="1">
        <v>4.8</v>
      </c>
      <c r="X1" s="1">
        <v>3.6</v>
      </c>
      <c r="Y1" s="1">
        <v>4.4000000000000004</v>
      </c>
      <c r="Z1" s="1">
        <v>5.2</v>
      </c>
      <c r="AA1" s="1">
        <v>6.1</v>
      </c>
      <c r="AB1" s="1">
        <v>2.9</v>
      </c>
      <c r="AC1" s="1">
        <v>5.5</v>
      </c>
      <c r="AD1" s="1">
        <v>4.2</v>
      </c>
    </row>
    <row r="4" spans="1:30">
      <c r="A4" s="1" t="s">
        <v>1</v>
      </c>
      <c r="B4" s="1" t="s">
        <v>2</v>
      </c>
      <c r="C4" s="1" t="s">
        <v>3</v>
      </c>
      <c r="D4" s="1" t="s">
        <v>35</v>
      </c>
      <c r="E4" s="1" t="s">
        <v>36</v>
      </c>
      <c r="F4" s="1" t="s">
        <v>37</v>
      </c>
    </row>
    <row r="5" spans="1:30">
      <c r="A5" s="1">
        <v>2</v>
      </c>
      <c r="B5" s="1">
        <v>2.9</v>
      </c>
      <c r="C5" s="1" cm="1">
        <f t="array" ref="C5:C10">FREQUENCY(A1:AE1,B5:B9)</f>
        <v>3</v>
      </c>
      <c r="D5" s="1">
        <f>C5/30</f>
        <v>0.1</v>
      </c>
      <c r="E5" s="1">
        <f>C5</f>
        <v>3</v>
      </c>
      <c r="F5" s="1">
        <f>E5/$E$9</f>
        <v>0.1</v>
      </c>
    </row>
    <row r="6" spans="1:30">
      <c r="A6" s="1">
        <v>3</v>
      </c>
      <c r="B6" s="1">
        <v>3.9</v>
      </c>
      <c r="C6" s="1">
        <v>8</v>
      </c>
      <c r="D6" s="1">
        <f t="shared" ref="D6:D9" si="0">C6/30</f>
        <v>0.26666666666666666</v>
      </c>
      <c r="E6" s="1">
        <f>E5+C6</f>
        <v>11</v>
      </c>
      <c r="F6" s="1">
        <f t="shared" ref="F6:F9" si="1">E6/$E$9</f>
        <v>0.36666666666666664</v>
      </c>
    </row>
    <row r="7" spans="1:30">
      <c r="A7" s="1">
        <v>4</v>
      </c>
      <c r="B7" s="1">
        <v>4.9000000000000004</v>
      </c>
      <c r="C7" s="1">
        <v>9</v>
      </c>
      <c r="D7" s="1">
        <f t="shared" si="0"/>
        <v>0.3</v>
      </c>
      <c r="E7" s="1">
        <f t="shared" ref="E7:E9" si="2">E6+C7</f>
        <v>20</v>
      </c>
      <c r="F7" s="1">
        <f t="shared" si="1"/>
        <v>0.66666666666666663</v>
      </c>
    </row>
    <row r="8" spans="1:30">
      <c r="A8" s="1">
        <v>5</v>
      </c>
      <c r="B8" s="1">
        <v>5.9</v>
      </c>
      <c r="C8" s="1">
        <v>7</v>
      </c>
      <c r="D8" s="1">
        <f t="shared" si="0"/>
        <v>0.23333333333333334</v>
      </c>
      <c r="E8" s="1">
        <f t="shared" si="2"/>
        <v>27</v>
      </c>
      <c r="F8" s="1">
        <f t="shared" si="1"/>
        <v>0.9</v>
      </c>
    </row>
    <row r="9" spans="1:30">
      <c r="A9" s="1">
        <v>6</v>
      </c>
      <c r="B9" s="1">
        <v>6.9</v>
      </c>
      <c r="C9" s="1">
        <v>3</v>
      </c>
      <c r="D9" s="1">
        <f t="shared" si="0"/>
        <v>0.1</v>
      </c>
      <c r="E9" s="1">
        <f t="shared" si="2"/>
        <v>30</v>
      </c>
      <c r="F9" s="1">
        <f t="shared" si="1"/>
        <v>1</v>
      </c>
    </row>
    <row r="10" spans="1:30">
      <c r="C10" s="1">
        <v>0</v>
      </c>
    </row>
    <row r="11" spans="1:30">
      <c r="A11" s="1" t="s">
        <v>38</v>
      </c>
    </row>
    <row r="34" spans="1:1">
      <c r="A34" s="1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TANJA EKSTEEN</dc:creator>
  <cp:keywords/>
  <dc:description/>
  <cp:lastModifiedBy/>
  <cp:revision/>
  <dcterms:created xsi:type="dcterms:W3CDTF">2024-07-22T18:59:56Z</dcterms:created>
  <dcterms:modified xsi:type="dcterms:W3CDTF">2024-08-03T23:14:24Z</dcterms:modified>
  <cp:category/>
  <cp:contentStatus/>
</cp:coreProperties>
</file>