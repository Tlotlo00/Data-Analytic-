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/>
  <xr:revisionPtr revIDLastSave="0" documentId="8_{171F84E5-614D-4C56-B9D5-5CDA499E3F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Question 17" sheetId="1" r:id="rId1"/>
    <sheet name="Question 19" sheetId="2" r:id="rId2"/>
    <sheet name="Question 2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3" i="1"/>
  <c r="A12" i="1"/>
  <c r="A32" i="3"/>
  <c r="A68" i="2"/>
  <c r="A65" i="2"/>
  <c r="A62" i="2"/>
  <c r="A59" i="2"/>
  <c r="A56" i="2"/>
  <c r="A53" i="2"/>
  <c r="A52" i="2"/>
</calcChain>
</file>

<file path=xl/sharedStrings.xml><?xml version="1.0" encoding="utf-8"?>
<sst xmlns="http://schemas.openxmlformats.org/spreadsheetml/2006/main" count="109" uniqueCount="88">
  <si>
    <t>Year      </t>
  </si>
  <si>
    <t>Stivers ($) </t>
  </si>
  <si>
    <t>Trippi ($)</t>
  </si>
  <si>
    <t>              11,000 </t>
  </si>
  <si>
    <t>               5,600 </t>
  </si>
  <si>
    <t>              12,000 </t>
  </si>
  <si>
    <t>               6,300 </t>
  </si>
  <si>
    <t>              13,000 </t>
  </si>
  <si>
    <t>               6,900 </t>
  </si>
  <si>
    <t>              14,000 </t>
  </si>
  <si>
    <t>               7,600 </t>
  </si>
  <si>
    <t>              15,000 </t>
  </si>
  <si>
    <t>               8,500 </t>
  </si>
  <si>
    <t>              16,000 </t>
  </si>
  <si>
    <t>               9,200 </t>
  </si>
  <si>
    <t>              17,000 </t>
  </si>
  <si>
    <t>               9,900 </t>
  </si>
  <si>
    <t>              18,000 </t>
  </si>
  <si>
    <t>            10,600 </t>
  </si>
  <si>
    <t>17.a)</t>
  </si>
  <si>
    <t>City</t>
  </si>
  <si>
    <t>Time (minutes)</t>
  </si>
  <si>
    <t>Albuquerque</t>
  </si>
  <si>
    <t>Atlanta</t>
  </si>
  <si>
    <t>Austin</t>
  </si>
  <si>
    <t>Baltimore</t>
  </si>
  <si>
    <t>Boston</t>
  </si>
  <si>
    <t>Charlotte</t>
  </si>
  <si>
    <t>Chicago</t>
  </si>
  <si>
    <t>Cincinnati</t>
  </si>
  <si>
    <t>Cleveland</t>
  </si>
  <si>
    <t>Columbus</t>
  </si>
  <si>
    <t>Dallas</t>
  </si>
  <si>
    <t>Denver</t>
  </si>
  <si>
    <t>Detroit</t>
  </si>
  <si>
    <t>El Paso</t>
  </si>
  <si>
    <t>Fresno</t>
  </si>
  <si>
    <t>Indianapolis</t>
  </si>
  <si>
    <t>Jacksonville</t>
  </si>
  <si>
    <t>Kansas City</t>
  </si>
  <si>
    <t>Las Vegas</t>
  </si>
  <si>
    <t>Little Rock</t>
  </si>
  <si>
    <t>Los Angeles</t>
  </si>
  <si>
    <t>Louisville</t>
  </si>
  <si>
    <t>Memphis</t>
  </si>
  <si>
    <t>Miami</t>
  </si>
  <si>
    <t>Milwaukee</t>
  </si>
  <si>
    <t>Minneapolis</t>
  </si>
  <si>
    <t>Nashville</t>
  </si>
  <si>
    <t>New Orleans</t>
  </si>
  <si>
    <t>New York</t>
  </si>
  <si>
    <t>Oklahoma City</t>
  </si>
  <si>
    <t>Orlando</t>
  </si>
  <si>
    <t>Philadelphia </t>
  </si>
  <si>
    <t>Phoenix</t>
  </si>
  <si>
    <t>Pittsburgh</t>
  </si>
  <si>
    <t>Portland</t>
  </si>
  <si>
    <t>Providence</t>
  </si>
  <si>
    <t>Richmond</t>
  </si>
  <si>
    <t>Sacramento</t>
  </si>
  <si>
    <t>Salt Lake City</t>
  </si>
  <si>
    <t>San Antonio</t>
  </si>
  <si>
    <t>San Diego</t>
  </si>
  <si>
    <t>San Francisco</t>
  </si>
  <si>
    <t>San Jose</t>
  </si>
  <si>
    <t>Seattle</t>
  </si>
  <si>
    <t>St. Louis</t>
  </si>
  <si>
    <t>Tucson</t>
  </si>
  <si>
    <t>Tulsa</t>
  </si>
  <si>
    <t>Washington, D.C.</t>
  </si>
  <si>
    <t>19.a)</t>
  </si>
  <si>
    <t>19.b)</t>
  </si>
  <si>
    <t>19.c)</t>
  </si>
  <si>
    <t>19.d)</t>
  </si>
  <si>
    <t>Standard deviation</t>
  </si>
  <si>
    <t>19.e)</t>
  </si>
  <si>
    <t>Metro Area</t>
  </si>
  <si>
    <t>Jobless Rate (%)</t>
  </si>
  <si>
    <t>Delinquent Loans (%)</t>
  </si>
  <si>
    <t>Houston</t>
  </si>
  <si>
    <t>Orange County</t>
  </si>
  <si>
    <t>Philadelphia</t>
  </si>
  <si>
    <t>Raleigh</t>
  </si>
  <si>
    <t>San  Diego</t>
  </si>
  <si>
    <t>Tampa</t>
  </si>
  <si>
    <t>28.a)</t>
  </si>
  <si>
    <t xml:space="preserve">weaker linear association between x and y </t>
  </si>
  <si>
    <t>28.b)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</si>
</sst>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/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Jobless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'Question 28'!$B$2:$B$28</c:f>
              <c:numCache>
                <c:formatCode>General</c:formatCode>
                <c:ptCount val="27"/>
                <c:pt idx="0">
                  <c:v>7.1</c:v>
                </c:pt>
                <c:pt idx="1">
                  <c:v>5.2</c:v>
                </c:pt>
                <c:pt idx="2">
                  <c:v>7.8</c:v>
                </c:pt>
                <c:pt idx="3">
                  <c:v>7.8</c:v>
                </c:pt>
                <c:pt idx="4">
                  <c:v>5.8</c:v>
                </c:pt>
                <c:pt idx="5">
                  <c:v>5.8</c:v>
                </c:pt>
                <c:pt idx="6">
                  <c:v>9.3000000000000007</c:v>
                </c:pt>
                <c:pt idx="7">
                  <c:v>5.7</c:v>
                </c:pt>
                <c:pt idx="8">
                  <c:v>7.3</c:v>
                </c:pt>
                <c:pt idx="9">
                  <c:v>7.6</c:v>
                </c:pt>
                <c:pt idx="10">
                  <c:v>8.1999999999999993</c:v>
                </c:pt>
                <c:pt idx="11">
                  <c:v>7.1</c:v>
                </c:pt>
                <c:pt idx="12">
                  <c:v>6.3</c:v>
                </c:pt>
                <c:pt idx="13">
                  <c:v>6.6</c:v>
                </c:pt>
                <c:pt idx="14">
                  <c:v>6.2</c:v>
                </c:pt>
                <c:pt idx="15">
                  <c:v>6.3</c:v>
                </c:pt>
                <c:pt idx="16">
                  <c:v>7</c:v>
                </c:pt>
                <c:pt idx="17">
                  <c:v>6.2</c:v>
                </c:pt>
                <c:pt idx="18">
                  <c:v>5.5</c:v>
                </c:pt>
                <c:pt idx="19">
                  <c:v>6.5</c:v>
                </c:pt>
                <c:pt idx="20">
                  <c:v>6</c:v>
                </c:pt>
                <c:pt idx="21">
                  <c:v>8.3000000000000007</c:v>
                </c:pt>
                <c:pt idx="22">
                  <c:v>7.5</c:v>
                </c:pt>
                <c:pt idx="23">
                  <c:v>7.1</c:v>
                </c:pt>
                <c:pt idx="24">
                  <c:v>6.8</c:v>
                </c:pt>
                <c:pt idx="25">
                  <c:v>5.5</c:v>
                </c:pt>
                <c:pt idx="26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CC-47AA-810E-9DA434412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46696"/>
        <c:axId val="32948744"/>
      </c:scatterChart>
      <c:valAx>
        <c:axId val="3294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8744"/>
        <c:crosses val="autoZero"/>
        <c:crossBetween val="midCat"/>
      </c:valAx>
      <c:valAx>
        <c:axId val="329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6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Delinquent Loans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'Question 28'!$C$2:$C$28</c:f>
              <c:numCache>
                <c:formatCode>General</c:formatCode>
                <c:ptCount val="27"/>
                <c:pt idx="0">
                  <c:v>7.02</c:v>
                </c:pt>
                <c:pt idx="1">
                  <c:v>5.31</c:v>
                </c:pt>
                <c:pt idx="2">
                  <c:v>5.38</c:v>
                </c:pt>
                <c:pt idx="3">
                  <c:v>5.4</c:v>
                </c:pt>
                <c:pt idx="4">
                  <c:v>5</c:v>
                </c:pt>
                <c:pt idx="5">
                  <c:v>4.07</c:v>
                </c:pt>
                <c:pt idx="6">
                  <c:v>6.53</c:v>
                </c:pt>
                <c:pt idx="7">
                  <c:v>5.57</c:v>
                </c:pt>
                <c:pt idx="8">
                  <c:v>6.99</c:v>
                </c:pt>
                <c:pt idx="9">
                  <c:v>11.12</c:v>
                </c:pt>
                <c:pt idx="10">
                  <c:v>7.56</c:v>
                </c:pt>
                <c:pt idx="11">
                  <c:v>12.11</c:v>
                </c:pt>
                <c:pt idx="12">
                  <c:v>4.3899999999999997</c:v>
                </c:pt>
                <c:pt idx="13">
                  <c:v>4.78</c:v>
                </c:pt>
                <c:pt idx="14">
                  <c:v>5.78</c:v>
                </c:pt>
                <c:pt idx="15">
                  <c:v>6.08</c:v>
                </c:pt>
                <c:pt idx="16">
                  <c:v>10.050000000000001</c:v>
                </c:pt>
                <c:pt idx="17">
                  <c:v>4.75</c:v>
                </c:pt>
                <c:pt idx="18">
                  <c:v>7.22</c:v>
                </c:pt>
                <c:pt idx="19">
                  <c:v>3.79</c:v>
                </c:pt>
                <c:pt idx="20">
                  <c:v>3.62</c:v>
                </c:pt>
                <c:pt idx="21">
                  <c:v>9.24</c:v>
                </c:pt>
                <c:pt idx="22">
                  <c:v>4.4000000000000004</c:v>
                </c:pt>
                <c:pt idx="23">
                  <c:v>6.91</c:v>
                </c:pt>
                <c:pt idx="24">
                  <c:v>5.57</c:v>
                </c:pt>
                <c:pt idx="25">
                  <c:v>3.87</c:v>
                </c:pt>
                <c:pt idx="26">
                  <c:v>8.42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E61-4FA4-86B7-2374612F7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59432"/>
        <c:axId val="222761480"/>
      </c:scatterChart>
      <c:valAx>
        <c:axId val="222759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61480"/>
        <c:crosses val="autoZero"/>
        <c:crossBetween val="midCat"/>
      </c:valAx>
      <c:valAx>
        <c:axId val="22276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59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9525</xdr:rowOff>
    </xdr:from>
    <xdr:to>
      <xdr:col>8</xdr:col>
      <xdr:colOff>304800</xdr:colOff>
      <xdr:row>65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A72438-CAF7-E836-B043-00D836978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35</xdr:row>
      <xdr:rowOff>0</xdr:rowOff>
    </xdr:from>
    <xdr:to>
      <xdr:col>8</xdr:col>
      <xdr:colOff>323850</xdr:colOff>
      <xdr:row>49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F27E93-CE8F-AEAE-0445-E56A0454B6BE}"/>
            </a:ext>
            <a:ext uri="{147F2762-F138-4A5C-976F-8EAC2B608ADB}">
              <a16:predDERef xmlns:a16="http://schemas.microsoft.com/office/drawing/2014/main" pred="{DFA72438-CAF7-E836-B043-00D836978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4" sqref="A14"/>
    </sheetView>
  </sheetViews>
  <sheetFormatPr defaultRowHeight="15"/>
  <cols>
    <col min="2" max="2" width="14.5703125" bestFit="1" customWidth="1"/>
    <col min="3" max="3" width="13.85546875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2">
        <v>1</v>
      </c>
      <c r="B2" s="3" t="s">
        <v>3</v>
      </c>
      <c r="C2" s="3" t="s">
        <v>4</v>
      </c>
    </row>
    <row r="3" spans="1:3" ht="15.75">
      <c r="A3" s="2">
        <v>2</v>
      </c>
      <c r="B3" s="3" t="s">
        <v>5</v>
      </c>
      <c r="C3" s="3" t="s">
        <v>6</v>
      </c>
    </row>
    <row r="4" spans="1:3" ht="15.75">
      <c r="A4" s="2">
        <v>3</v>
      </c>
      <c r="B4" s="3" t="s">
        <v>7</v>
      </c>
      <c r="C4" s="3" t="s">
        <v>8</v>
      </c>
    </row>
    <row r="5" spans="1:3" ht="15.75">
      <c r="A5" s="2">
        <v>4</v>
      </c>
      <c r="B5" s="3" t="s">
        <v>9</v>
      </c>
      <c r="C5" s="3" t="s">
        <v>10</v>
      </c>
    </row>
    <row r="6" spans="1:3" ht="15.75">
      <c r="A6" s="2">
        <v>5</v>
      </c>
      <c r="B6" s="3" t="s">
        <v>11</v>
      </c>
      <c r="C6" s="3" t="s">
        <v>12</v>
      </c>
    </row>
    <row r="7" spans="1:3" ht="15.75">
      <c r="A7" s="2">
        <v>6</v>
      </c>
      <c r="B7" s="3" t="s">
        <v>13</v>
      </c>
      <c r="C7" s="3" t="s">
        <v>14</v>
      </c>
    </row>
    <row r="8" spans="1:3" ht="15.75">
      <c r="A8" s="2">
        <v>7</v>
      </c>
      <c r="B8" s="3" t="s">
        <v>15</v>
      </c>
      <c r="C8" s="3" t="s">
        <v>16</v>
      </c>
    </row>
    <row r="9" spans="1:3" ht="15.75">
      <c r="A9" s="2">
        <v>8</v>
      </c>
      <c r="B9" s="3" t="s">
        <v>17</v>
      </c>
      <c r="C9" s="3" t="s">
        <v>18</v>
      </c>
    </row>
    <row r="11" spans="1:3">
      <c r="A11" s="8" t="s">
        <v>19</v>
      </c>
    </row>
    <row r="12" spans="1:3">
      <c r="A12">
        <f>3500/5000</f>
        <v>0.7</v>
      </c>
    </row>
    <row r="13" spans="1:3">
      <c r="A13" s="10">
        <f>POWER(A12,1/9)</f>
        <v>0.96114446903666151</v>
      </c>
    </row>
    <row r="14" spans="1:3">
      <c r="A14" s="9">
        <f>A13 -1</f>
        <v>-3.8855530963338492E-2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7EE7-AD11-4855-818F-DBFE7BF8CEDD}">
  <dimension ref="A1:B68"/>
  <sheetViews>
    <sheetView topLeftCell="A55" workbookViewId="0">
      <selection activeCell="A69" sqref="A69"/>
    </sheetView>
  </sheetViews>
  <sheetFormatPr defaultRowHeight="15"/>
  <cols>
    <col min="1" max="1" width="17.28515625" bestFit="1" customWidth="1"/>
  </cols>
  <sheetData>
    <row r="1" spans="1:2" ht="48.75">
      <c r="A1" s="5" t="s">
        <v>20</v>
      </c>
      <c r="B1" s="6" t="s">
        <v>21</v>
      </c>
    </row>
    <row r="2" spans="1:2" ht="15.75">
      <c r="A2" s="7" t="s">
        <v>22</v>
      </c>
      <c r="B2" s="7">
        <v>23.3</v>
      </c>
    </row>
    <row r="3" spans="1:2" ht="15.75">
      <c r="A3" s="7" t="s">
        <v>23</v>
      </c>
      <c r="B3" s="7">
        <v>28.3</v>
      </c>
    </row>
    <row r="4" spans="1:2" ht="15.75">
      <c r="A4" s="7" t="s">
        <v>24</v>
      </c>
      <c r="B4" s="7">
        <v>24.6</v>
      </c>
    </row>
    <row r="5" spans="1:2" ht="15.75">
      <c r="A5" s="7" t="s">
        <v>25</v>
      </c>
      <c r="B5" s="7">
        <v>32.1</v>
      </c>
    </row>
    <row r="6" spans="1:2" ht="15.75">
      <c r="A6" s="7" t="s">
        <v>26</v>
      </c>
      <c r="B6" s="7">
        <v>31.7</v>
      </c>
    </row>
    <row r="7" spans="1:2" ht="15.75">
      <c r="A7" s="7" t="s">
        <v>27</v>
      </c>
      <c r="B7" s="7">
        <v>25.8</v>
      </c>
    </row>
    <row r="8" spans="1:2" ht="15.75">
      <c r="A8" s="7" t="s">
        <v>28</v>
      </c>
      <c r="B8" s="7">
        <v>38.1</v>
      </c>
    </row>
    <row r="9" spans="1:2" ht="15.75">
      <c r="A9" s="7" t="s">
        <v>29</v>
      </c>
      <c r="B9" s="7">
        <v>24.9</v>
      </c>
    </row>
    <row r="10" spans="1:2" ht="15.75">
      <c r="A10" s="7" t="s">
        <v>30</v>
      </c>
      <c r="B10" s="7">
        <v>26.8</v>
      </c>
    </row>
    <row r="11" spans="1:2" ht="15.75">
      <c r="A11" s="7" t="s">
        <v>31</v>
      </c>
      <c r="B11" s="7">
        <v>23.4</v>
      </c>
    </row>
    <row r="12" spans="1:2" ht="15.75">
      <c r="A12" s="7" t="s">
        <v>32</v>
      </c>
      <c r="B12" s="7">
        <v>28.5</v>
      </c>
    </row>
    <row r="13" spans="1:2" ht="15.75">
      <c r="A13" s="7" t="s">
        <v>33</v>
      </c>
      <c r="B13" s="7">
        <v>28.1</v>
      </c>
    </row>
    <row r="14" spans="1:2" ht="15.75">
      <c r="A14" s="7" t="s">
        <v>34</v>
      </c>
      <c r="B14" s="7">
        <v>29.3</v>
      </c>
    </row>
    <row r="15" spans="1:2" ht="15.75">
      <c r="A15" s="7" t="s">
        <v>35</v>
      </c>
      <c r="B15" s="7">
        <v>24.4</v>
      </c>
    </row>
    <row r="16" spans="1:2" ht="15.75">
      <c r="A16" s="7" t="s">
        <v>36</v>
      </c>
      <c r="B16" s="7">
        <v>23</v>
      </c>
    </row>
    <row r="17" spans="1:2" ht="15.75">
      <c r="A17" s="7" t="s">
        <v>37</v>
      </c>
      <c r="B17" s="7">
        <v>24.8</v>
      </c>
    </row>
    <row r="18" spans="1:2" ht="15.75">
      <c r="A18" s="7" t="s">
        <v>38</v>
      </c>
      <c r="B18" s="7">
        <v>26.2</v>
      </c>
    </row>
    <row r="19" spans="1:2" ht="15.75">
      <c r="A19" s="7" t="s">
        <v>39</v>
      </c>
      <c r="B19" s="7">
        <v>23.4</v>
      </c>
    </row>
    <row r="20" spans="1:2" ht="15.75">
      <c r="A20" s="7" t="s">
        <v>40</v>
      </c>
      <c r="B20" s="7">
        <v>28.4</v>
      </c>
    </row>
    <row r="21" spans="1:2" ht="15.75">
      <c r="A21" s="7" t="s">
        <v>41</v>
      </c>
      <c r="B21" s="7">
        <v>20.100000000000001</v>
      </c>
    </row>
    <row r="22" spans="1:2" ht="15.75">
      <c r="A22" s="7" t="s">
        <v>42</v>
      </c>
      <c r="B22" s="7">
        <v>32.200000000000003</v>
      </c>
    </row>
    <row r="23" spans="1:2" ht="15.75">
      <c r="A23" s="7" t="s">
        <v>43</v>
      </c>
      <c r="B23" s="7">
        <v>21.4</v>
      </c>
    </row>
    <row r="24" spans="1:2" ht="15.75">
      <c r="A24" s="7" t="s">
        <v>44</v>
      </c>
      <c r="B24" s="7">
        <v>23.8</v>
      </c>
    </row>
    <row r="25" spans="1:2" ht="15.75">
      <c r="A25" s="7" t="s">
        <v>45</v>
      </c>
      <c r="B25" s="7">
        <v>30.7</v>
      </c>
    </row>
    <row r="26" spans="1:2" ht="15.75">
      <c r="A26" s="7" t="s">
        <v>46</v>
      </c>
      <c r="B26" s="7">
        <v>24.8</v>
      </c>
    </row>
    <row r="27" spans="1:2" ht="15.75">
      <c r="A27" s="7" t="s">
        <v>47</v>
      </c>
      <c r="B27" s="7">
        <v>23.6</v>
      </c>
    </row>
    <row r="28" spans="1:2" ht="15.75">
      <c r="A28" s="7" t="s">
        <v>48</v>
      </c>
      <c r="B28" s="7">
        <v>25.3</v>
      </c>
    </row>
    <row r="29" spans="1:2" ht="15.75">
      <c r="A29" s="7" t="s">
        <v>49</v>
      </c>
      <c r="B29" s="7">
        <v>31.7</v>
      </c>
    </row>
    <row r="30" spans="1:2" ht="15.75">
      <c r="A30" s="7" t="s">
        <v>50</v>
      </c>
      <c r="B30" s="7">
        <v>43.8</v>
      </c>
    </row>
    <row r="31" spans="1:2" ht="15.75">
      <c r="A31" s="7" t="s">
        <v>51</v>
      </c>
      <c r="B31" s="7">
        <v>22</v>
      </c>
    </row>
    <row r="32" spans="1:2" ht="15.75">
      <c r="A32" s="7" t="s">
        <v>52</v>
      </c>
      <c r="B32" s="7">
        <v>27.1</v>
      </c>
    </row>
    <row r="33" spans="1:2" ht="15.75">
      <c r="A33" s="7" t="s">
        <v>53</v>
      </c>
      <c r="B33" s="7">
        <v>34.200000000000003</v>
      </c>
    </row>
    <row r="34" spans="1:2" ht="15.75">
      <c r="A34" s="7" t="s">
        <v>54</v>
      </c>
      <c r="B34" s="7">
        <v>28.3</v>
      </c>
    </row>
    <row r="35" spans="1:2" ht="15.75">
      <c r="A35" s="7" t="s">
        <v>55</v>
      </c>
      <c r="B35" s="7">
        <v>25</v>
      </c>
    </row>
    <row r="36" spans="1:2" ht="15.75">
      <c r="A36" s="7" t="s">
        <v>56</v>
      </c>
      <c r="B36" s="7">
        <v>26.4</v>
      </c>
    </row>
    <row r="37" spans="1:2" ht="15.75">
      <c r="A37" s="7" t="s">
        <v>57</v>
      </c>
      <c r="B37" s="7">
        <v>23.6</v>
      </c>
    </row>
    <row r="38" spans="1:2" ht="15.75">
      <c r="A38" s="7" t="s">
        <v>58</v>
      </c>
      <c r="B38" s="7">
        <v>23.4</v>
      </c>
    </row>
    <row r="39" spans="1:2" ht="15.75">
      <c r="A39" s="7" t="s">
        <v>59</v>
      </c>
      <c r="B39" s="7">
        <v>25.8</v>
      </c>
    </row>
    <row r="40" spans="1:2" ht="15.75">
      <c r="A40" s="7" t="s">
        <v>60</v>
      </c>
      <c r="B40" s="7">
        <v>20.2</v>
      </c>
    </row>
    <row r="41" spans="1:2" ht="15.75">
      <c r="A41" s="7" t="s">
        <v>61</v>
      </c>
      <c r="B41" s="7">
        <v>26.1</v>
      </c>
    </row>
    <row r="42" spans="1:2" ht="15.75">
      <c r="A42" s="7" t="s">
        <v>62</v>
      </c>
      <c r="B42" s="7">
        <v>24.8</v>
      </c>
    </row>
    <row r="43" spans="1:2" ht="15.75">
      <c r="A43" s="7" t="s">
        <v>63</v>
      </c>
      <c r="B43" s="7">
        <v>32.6</v>
      </c>
    </row>
    <row r="44" spans="1:2" ht="15.75">
      <c r="A44" s="7" t="s">
        <v>64</v>
      </c>
      <c r="B44" s="7">
        <v>28.5</v>
      </c>
    </row>
    <row r="45" spans="1:2" ht="15.75">
      <c r="A45" s="7" t="s">
        <v>65</v>
      </c>
      <c r="B45" s="7">
        <v>27.3</v>
      </c>
    </row>
    <row r="46" spans="1:2" ht="15.75">
      <c r="A46" s="7" t="s">
        <v>66</v>
      </c>
      <c r="B46" s="7">
        <v>26.8</v>
      </c>
    </row>
    <row r="47" spans="1:2" ht="15.75">
      <c r="A47" s="7" t="s">
        <v>67</v>
      </c>
      <c r="B47" s="7">
        <v>24</v>
      </c>
    </row>
    <row r="48" spans="1:2" ht="15.75">
      <c r="A48" s="7" t="s">
        <v>68</v>
      </c>
      <c r="B48" s="7">
        <v>20.100000000000001</v>
      </c>
    </row>
    <row r="49" spans="1:2" ht="15.75">
      <c r="A49" s="7" t="s">
        <v>69</v>
      </c>
      <c r="B49" s="7">
        <v>32.799999999999997</v>
      </c>
    </row>
    <row r="51" spans="1:2">
      <c r="A51" t="s">
        <v>70</v>
      </c>
    </row>
    <row r="52" spans="1:2">
      <c r="A52">
        <f>SUM(B2:B49)</f>
        <v>1291.4999999999995</v>
      </c>
    </row>
    <row r="53" spans="1:2">
      <c r="A53">
        <f>A52/49</f>
        <v>26.357142857142847</v>
      </c>
    </row>
    <row r="55" spans="1:2">
      <c r="A55" t="s">
        <v>71</v>
      </c>
    </row>
    <row r="56" spans="1:2">
      <c r="A56">
        <f>MEDIAN(B2:B49)</f>
        <v>25.950000000000003</v>
      </c>
    </row>
    <row r="58" spans="1:2">
      <c r="A58" t="s">
        <v>72</v>
      </c>
    </row>
    <row r="59" spans="1:2">
      <c r="A59">
        <f>MODE(B2:B49)</f>
        <v>23.4</v>
      </c>
    </row>
    <row r="61" spans="1:2">
      <c r="A61" t="s">
        <v>73</v>
      </c>
    </row>
    <row r="62" spans="1:2">
      <c r="A62">
        <f>_xlfn.VAR.S(B2:B49)</f>
        <v>21.299747340425885</v>
      </c>
    </row>
    <row r="64" spans="1:2">
      <c r="A64" t="s">
        <v>74</v>
      </c>
    </row>
    <row r="65" spans="1:1">
      <c r="A65">
        <f>STDEV(B2:B49)</f>
        <v>4.6151649310101455</v>
      </c>
    </row>
    <row r="67" spans="1:1">
      <c r="A67" t="s">
        <v>75</v>
      </c>
    </row>
    <row r="68" spans="1:1">
      <c r="A68">
        <f>QUARTILE(B2:B49,3)</f>
        <v>28.5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009C-A30E-497C-A656-A72E64BF045E}">
  <dimension ref="A1:C35"/>
  <sheetViews>
    <sheetView workbookViewId="0">
      <selection activeCell="G8" sqref="G8"/>
    </sheetView>
  </sheetViews>
  <sheetFormatPr defaultRowHeight="15"/>
  <sheetData>
    <row r="1" spans="1:3">
      <c r="A1" s="4" t="s">
        <v>76</v>
      </c>
      <c r="B1" s="4" t="s">
        <v>77</v>
      </c>
      <c r="C1" s="4" t="s">
        <v>78</v>
      </c>
    </row>
    <row r="2" spans="1:3">
      <c r="A2" s="3" t="s">
        <v>23</v>
      </c>
      <c r="B2" s="3">
        <v>7.1</v>
      </c>
      <c r="C2" s="3">
        <v>7.02</v>
      </c>
    </row>
    <row r="3" spans="1:3">
      <c r="A3" s="3" t="s">
        <v>26</v>
      </c>
      <c r="B3" s="3">
        <v>5.2</v>
      </c>
      <c r="C3" s="3">
        <v>5.31</v>
      </c>
    </row>
    <row r="4" spans="1:3">
      <c r="A4" s="3" t="s">
        <v>27</v>
      </c>
      <c r="B4" s="3">
        <v>7.8</v>
      </c>
      <c r="C4" s="3">
        <v>5.38</v>
      </c>
    </row>
    <row r="5" spans="1:3">
      <c r="A5" s="3" t="s">
        <v>28</v>
      </c>
      <c r="B5" s="3">
        <v>7.8</v>
      </c>
      <c r="C5" s="3">
        <v>5.4</v>
      </c>
    </row>
    <row r="6" spans="1:3">
      <c r="A6" s="3" t="s">
        <v>32</v>
      </c>
      <c r="B6" s="3">
        <v>5.8</v>
      </c>
      <c r="C6" s="3">
        <v>5</v>
      </c>
    </row>
    <row r="7" spans="1:3">
      <c r="A7" s="3" t="s">
        <v>33</v>
      </c>
      <c r="B7" s="3">
        <v>5.8</v>
      </c>
      <c r="C7" s="3">
        <v>4.07</v>
      </c>
    </row>
    <row r="8" spans="1:3">
      <c r="A8" s="3" t="s">
        <v>34</v>
      </c>
      <c r="B8" s="3">
        <v>9.3000000000000007</v>
      </c>
      <c r="C8" s="3">
        <v>6.53</v>
      </c>
    </row>
    <row r="9" spans="1:3">
      <c r="A9" s="3" t="s">
        <v>79</v>
      </c>
      <c r="B9" s="3">
        <v>5.7</v>
      </c>
      <c r="C9" s="3">
        <v>5.57</v>
      </c>
    </row>
    <row r="10" spans="1:3">
      <c r="A10" s="3" t="s">
        <v>38</v>
      </c>
      <c r="B10" s="3">
        <v>7.3</v>
      </c>
      <c r="C10" s="3">
        <v>6.99</v>
      </c>
    </row>
    <row r="11" spans="1:3">
      <c r="A11" s="3" t="s">
        <v>40</v>
      </c>
      <c r="B11" s="3">
        <v>7.6</v>
      </c>
      <c r="C11" s="3">
        <v>11.12</v>
      </c>
    </row>
    <row r="12" spans="1:3">
      <c r="A12" s="3" t="s">
        <v>42</v>
      </c>
      <c r="B12" s="3">
        <v>8.1999999999999993</v>
      </c>
      <c r="C12" s="3">
        <v>7.56</v>
      </c>
    </row>
    <row r="13" spans="1:3">
      <c r="A13" s="3" t="s">
        <v>45</v>
      </c>
      <c r="B13" s="3">
        <v>7.1</v>
      </c>
      <c r="C13" s="3">
        <v>12.11</v>
      </c>
    </row>
    <row r="14" spans="1:3">
      <c r="A14" s="3" t="s">
        <v>47</v>
      </c>
      <c r="B14" s="3">
        <v>6.3</v>
      </c>
      <c r="C14" s="3">
        <v>4.3899999999999997</v>
      </c>
    </row>
    <row r="15" spans="1:3">
      <c r="A15" s="3" t="s">
        <v>48</v>
      </c>
      <c r="B15" s="3">
        <v>6.6</v>
      </c>
      <c r="C15" s="3">
        <v>4.78</v>
      </c>
    </row>
    <row r="16" spans="1:3">
      <c r="A16" s="3" t="s">
        <v>50</v>
      </c>
      <c r="B16" s="3">
        <v>6.2</v>
      </c>
      <c r="C16" s="3">
        <v>5.78</v>
      </c>
    </row>
    <row r="17" spans="1:3">
      <c r="A17" s="3" t="s">
        <v>80</v>
      </c>
      <c r="B17" s="3">
        <v>6.3</v>
      </c>
      <c r="C17" s="3">
        <v>6.08</v>
      </c>
    </row>
    <row r="18" spans="1:3">
      <c r="A18" s="3" t="s">
        <v>52</v>
      </c>
      <c r="B18" s="3">
        <v>7</v>
      </c>
      <c r="C18" s="3">
        <v>10.050000000000001</v>
      </c>
    </row>
    <row r="19" spans="1:3">
      <c r="A19" s="3" t="s">
        <v>81</v>
      </c>
      <c r="B19" s="3">
        <v>6.2</v>
      </c>
      <c r="C19" s="3">
        <v>4.75</v>
      </c>
    </row>
    <row r="20" spans="1:3">
      <c r="A20" s="3" t="s">
        <v>54</v>
      </c>
      <c r="B20" s="3">
        <v>5.5</v>
      </c>
      <c r="C20" s="3">
        <v>7.22</v>
      </c>
    </row>
    <row r="21" spans="1:3">
      <c r="A21" s="3" t="s">
        <v>56</v>
      </c>
      <c r="B21" s="3">
        <v>6.5</v>
      </c>
      <c r="C21" s="3">
        <v>3.79</v>
      </c>
    </row>
    <row r="22" spans="1:3">
      <c r="A22" s="3" t="s">
        <v>82</v>
      </c>
      <c r="B22" s="3">
        <v>6</v>
      </c>
      <c r="C22" s="3">
        <v>3.62</v>
      </c>
    </row>
    <row r="23" spans="1:3">
      <c r="A23" s="3" t="s">
        <v>59</v>
      </c>
      <c r="B23" s="3">
        <v>8.3000000000000007</v>
      </c>
      <c r="C23" s="3">
        <v>9.24</v>
      </c>
    </row>
    <row r="24" spans="1:3">
      <c r="A24" s="3" t="s">
        <v>66</v>
      </c>
      <c r="B24" s="3">
        <v>7.5</v>
      </c>
      <c r="C24" s="3">
        <v>4.4000000000000004</v>
      </c>
    </row>
    <row r="25" spans="1:3">
      <c r="A25" s="3" t="s">
        <v>83</v>
      </c>
      <c r="B25" s="3">
        <v>7.1</v>
      </c>
      <c r="C25" s="3">
        <v>6.91</v>
      </c>
    </row>
    <row r="26" spans="1:3">
      <c r="A26" s="3" t="s">
        <v>63</v>
      </c>
      <c r="B26" s="3">
        <v>6.8</v>
      </c>
      <c r="C26" s="3">
        <v>5.57</v>
      </c>
    </row>
    <row r="27" spans="1:3">
      <c r="A27" s="3" t="s">
        <v>65</v>
      </c>
      <c r="B27" s="3">
        <v>5.5</v>
      </c>
      <c r="C27" s="3">
        <v>3.87</v>
      </c>
    </row>
    <row r="28" spans="1:3">
      <c r="A28" s="3" t="s">
        <v>84</v>
      </c>
      <c r="B28" s="3">
        <v>7.5</v>
      </c>
      <c r="C28" s="3">
        <v>8.42</v>
      </c>
    </row>
    <row r="31" spans="1:3">
      <c r="A31" t="s">
        <v>85</v>
      </c>
    </row>
    <row r="32" spans="1:3">
      <c r="A32">
        <f>CORREL(B2:B28,C2:C28)</f>
        <v>0.4413239313501558</v>
      </c>
    </row>
    <row r="33" spans="1:1">
      <c r="A33" t="s">
        <v>86</v>
      </c>
    </row>
    <row r="35" spans="1:1">
      <c r="A35" t="s"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2024-08-06T21:36:28Z</dcterms:created>
  <dcterms:modified xsi:type="dcterms:W3CDTF">2024-08-06T22:46:54Z</dcterms:modified>
  <cp:category/>
  <cp:contentStatus/>
</cp:coreProperties>
</file>